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kdg\kdg-y4\fablax-exp\knex-tilt-coaster\connection_docs\"/>
    </mc:Choice>
  </mc:AlternateContent>
  <xr:revisionPtr revIDLastSave="0" documentId="13_ncr:1_{AF5034DB-152A-416B-AE92-8963412D24BA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station" sheetId="2" r:id="rId1"/>
    <sheet name="tilt_drop" sheetId="7" r:id="rId2"/>
    <sheet name="Kast" sheetId="4" r:id="rId3"/>
  </sheets>
  <calcPr calcId="191029"/>
</workbook>
</file>

<file path=xl/calcChain.xml><?xml version="1.0" encoding="utf-8"?>
<calcChain xmlns="http://schemas.openxmlformats.org/spreadsheetml/2006/main">
  <c r="F8" i="4" l="1"/>
  <c r="D7" i="4"/>
  <c r="G5" i="4"/>
  <c r="A3" i="4"/>
  <c r="E6" i="4"/>
  <c r="C6" i="4"/>
  <c r="E4" i="4"/>
  <c r="E5" i="4"/>
  <c r="C5" i="4"/>
  <c r="G4" i="4"/>
  <c r="C3" i="4"/>
  <c r="G3" i="4"/>
  <c r="F7" i="4"/>
  <c r="E3" i="4"/>
  <c r="G6" i="4"/>
  <c r="A8" i="4"/>
  <c r="D6" i="4"/>
  <c r="D8" i="4"/>
  <c r="F6" i="4"/>
  <c r="A5" i="4"/>
  <c r="C4" i="4"/>
  <c r="A7" i="4"/>
  <c r="D5" i="4"/>
  <c r="A4" i="4"/>
  <c r="G8" i="4"/>
  <c r="E7" i="4"/>
  <c r="A6" i="4"/>
  <c r="F4" i="4"/>
  <c r="D3" i="4"/>
  <c r="F3" i="4"/>
  <c r="C7" i="4"/>
  <c r="C8" i="4"/>
  <c r="D4" i="4"/>
  <c r="E8" i="4"/>
  <c r="F5" i="4"/>
  <c r="G7" i="4"/>
</calcChain>
</file>

<file path=xl/sharedStrings.xml><?xml version="1.0" encoding="utf-8"?>
<sst xmlns="http://schemas.openxmlformats.org/spreadsheetml/2006/main" count="183" uniqueCount="91">
  <si>
    <t>Kabel-ID</t>
  </si>
  <si>
    <t>Kleur</t>
  </si>
  <si>
    <t>Functie</t>
  </si>
  <si>
    <t>Van</t>
  </si>
  <si>
    <t>Naar</t>
  </si>
  <si>
    <t>Opmerking</t>
  </si>
  <si>
    <t>Sectie</t>
  </si>
  <si>
    <t>Sectie1_Motoren</t>
  </si>
  <si>
    <t>Sectie2_Sensoren</t>
  </si>
  <si>
    <t>stationStepper-be</t>
  </si>
  <si>
    <t>stationStepper-yw</t>
  </si>
  <si>
    <t>stationStepper-rd</t>
  </si>
  <si>
    <t>ESP(Model)/PIN</t>
  </si>
  <si>
    <t>green</t>
  </si>
  <si>
    <t>white</t>
  </si>
  <si>
    <t>red</t>
  </si>
  <si>
    <t>hallSensorExitStation-1</t>
  </si>
  <si>
    <t>hallSensorExitStation-2</t>
  </si>
  <si>
    <t>hallSensorExitStation-3</t>
  </si>
  <si>
    <t>hallSensorStartPosition-1</t>
  </si>
  <si>
    <t>hallSensorStartPosition-2</t>
  </si>
  <si>
    <t>hallSensorStartPosition-3</t>
  </si>
  <si>
    <t>hallSensorEnterStation-1</t>
  </si>
  <si>
    <t>hallSensorEnterStation-2</t>
  </si>
  <si>
    <t>hallSensorEnterStation-3</t>
  </si>
  <si>
    <t>stationGateServo-oe</t>
  </si>
  <si>
    <t>stationGateServo-rd</t>
  </si>
  <si>
    <t>stationGateServo-bn</t>
  </si>
  <si>
    <t>connector</t>
  </si>
  <si>
    <t>Driver</t>
  </si>
  <si>
    <t>stationStepper-pk-we-pk</t>
  </si>
  <si>
    <t>stationStepper-oe-gn-oe</t>
  </si>
  <si>
    <t>lifthillStepper-be</t>
  </si>
  <si>
    <t>lifthillStepper-pk</t>
  </si>
  <si>
    <t>lifthillStepper-yw</t>
  </si>
  <si>
    <t>lifthillStepper-oe</t>
  </si>
  <si>
    <t>lifthillStepper-rd</t>
  </si>
  <si>
    <t>hallSensorBottomLifthill-1</t>
  </si>
  <si>
    <t>hallSensorBottomLifthill-2</t>
  </si>
  <si>
    <t>hallSensorBottomLifthill-3</t>
  </si>
  <si>
    <t>5V</t>
  </si>
  <si>
    <t>GND</t>
  </si>
  <si>
    <t>GIOP 33</t>
  </si>
  <si>
    <t>GIOP 25</t>
  </si>
  <si>
    <t>GIOP 26</t>
  </si>
  <si>
    <t>GIOP 32</t>
  </si>
  <si>
    <t>LN1</t>
  </si>
  <si>
    <t>LN2</t>
  </si>
  <si>
    <t>LN3</t>
  </si>
  <si>
    <t>LN4</t>
  </si>
  <si>
    <t>LN5</t>
  </si>
  <si>
    <t>LN6</t>
  </si>
  <si>
    <t>LN7</t>
  </si>
  <si>
    <t>LN8</t>
  </si>
  <si>
    <t>GIOP 18</t>
  </si>
  <si>
    <t>GIOP 19</t>
  </si>
  <si>
    <t>GIOP 22</t>
  </si>
  <si>
    <t>GIOP 23</t>
  </si>
  <si>
    <t>GIOP 13</t>
  </si>
  <si>
    <t>GIOP 12</t>
  </si>
  <si>
    <t>GIOP 14</t>
  </si>
  <si>
    <t>GIOP 27</t>
  </si>
  <si>
    <t>tiltdropStepper-be</t>
  </si>
  <si>
    <t>tiltdropStepper-pk-we-pk</t>
  </si>
  <si>
    <t>tiltdropStepper-yw</t>
  </si>
  <si>
    <t>tiltdropStepper-oe-gn-oe</t>
  </si>
  <si>
    <t>tiltdropStepper-rd</t>
  </si>
  <si>
    <t>f8:b3:b7:33:23:00</t>
  </si>
  <si>
    <t>mac address ESP2/Tilt_Drop</t>
  </si>
  <si>
    <t>14:2b:2f:c9:24:cc</t>
  </si>
  <si>
    <t>master mac address</t>
  </si>
  <si>
    <t>hallSensorOnTiltdrop-1</t>
  </si>
  <si>
    <t>hallSensorOnTiltdrop-2</t>
  </si>
  <si>
    <t>hallSensorOnTiltdrop-3</t>
  </si>
  <si>
    <t>hallSensorTiltdropClosed-1</t>
  </si>
  <si>
    <t>hallSensorTiltdropClosed-3</t>
  </si>
  <si>
    <t>hallSensorTiltdropClosed-2</t>
  </si>
  <si>
    <t>hallSensorOffTiltdrop-1</t>
  </si>
  <si>
    <t>hallSensorOffTiltdrop-2</t>
  </si>
  <si>
    <t>hallSensorOffTiltdrop-3</t>
  </si>
  <si>
    <t>hallSensorTiltdropOpen-3</t>
  </si>
  <si>
    <t>hallSensorTiltdropOpen-1</t>
  </si>
  <si>
    <t>hallSensorTiltdropOpen-2</t>
  </si>
  <si>
    <t>releaseServo-oe</t>
  </si>
  <si>
    <t>releaseServo-rd</t>
  </si>
  <si>
    <t>releaseServo-bn</t>
  </si>
  <si>
    <t>black</t>
  </si>
  <si>
    <t>yellow</t>
  </si>
  <si>
    <t>blue</t>
  </si>
  <si>
    <t>GPIO 25</t>
  </si>
  <si>
    <t>GIOP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</si>
</sst>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  <font>
      <b/>
      <sz val="10"/>
      <color rgb="FFFF0000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2" borderId="1" xfId="0" applyFont="1" applyFill="1" applyBorder="1"/>
    <xf numFmtId="0" fontId="2" fillId="0" borderId="0" xfId="0" applyFont="1"/>
    <xf numFmtId="0" fontId="3" fillId="0" borderId="0" xfId="0" applyFont="1" applyAlignment="1">
      <alignment vertic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0"/>
  <sheetViews>
    <sheetView workbookViewId="0">
      <selection activeCell="A26" sqref="A26"/>
    </sheetView>
  </sheetViews>
  <sheetFormatPr defaultRowHeight="15" x14ac:dyDescent="0.25"/>
  <cols>
    <col min="1" max="1" width="33.140625" customWidth="1"/>
    <col min="2" max="2" width="13.85546875" customWidth="1"/>
    <col min="3" max="6" width="20" customWidth="1"/>
    <col min="7" max="7" width="29.5703125" customWidth="1"/>
    <col min="8" max="8" width="18" customWidth="1"/>
    <col min="9" max="9" width="17.5703125" customWidth="1"/>
    <col min="10" max="10" width="20.42578125" customWidth="1"/>
    <col min="11" max="11" width="21.85546875" customWidth="1"/>
    <col min="12" max="12" width="27.7109375" customWidth="1"/>
  </cols>
  <sheetData>
    <row r="1" spans="1:12" ht="31.5" customHeight="1" x14ac:dyDescent="0.25">
      <c r="A1" s="2" t="s">
        <v>0</v>
      </c>
      <c r="B1" s="2" t="s">
        <v>1</v>
      </c>
      <c r="C1" s="2" t="s">
        <v>12</v>
      </c>
      <c r="D1" s="2" t="s">
        <v>2</v>
      </c>
      <c r="E1" s="2" t="s">
        <v>5</v>
      </c>
      <c r="G1" s="2" t="s">
        <v>0</v>
      </c>
      <c r="H1" s="2" t="s">
        <v>1</v>
      </c>
      <c r="I1" s="2" t="s">
        <v>29</v>
      </c>
      <c r="J1" s="2" t="s">
        <v>12</v>
      </c>
      <c r="K1" s="2" t="s">
        <v>2</v>
      </c>
      <c r="L1" s="2" t="s">
        <v>5</v>
      </c>
    </row>
    <row r="2" spans="1:12" x14ac:dyDescent="0.25">
      <c r="A2" s="1" t="s">
        <v>16</v>
      </c>
      <c r="B2" t="s">
        <v>13</v>
      </c>
      <c r="C2" t="s">
        <v>40</v>
      </c>
      <c r="G2" s="1" t="s">
        <v>9</v>
      </c>
      <c r="H2" t="s">
        <v>28</v>
      </c>
      <c r="I2" t="s">
        <v>46</v>
      </c>
      <c r="J2" t="s">
        <v>54</v>
      </c>
    </row>
    <row r="3" spans="1:12" x14ac:dyDescent="0.25">
      <c r="A3" s="1" t="s">
        <v>17</v>
      </c>
      <c r="B3" t="s">
        <v>14</v>
      </c>
      <c r="C3" t="s">
        <v>41</v>
      </c>
      <c r="G3" s="1" t="s">
        <v>30</v>
      </c>
      <c r="H3" t="s">
        <v>28</v>
      </c>
      <c r="I3" t="s">
        <v>47</v>
      </c>
      <c r="J3" t="s">
        <v>55</v>
      </c>
    </row>
    <row r="4" spans="1:12" x14ac:dyDescent="0.25">
      <c r="A4" s="1" t="s">
        <v>18</v>
      </c>
      <c r="B4" t="s">
        <v>15</v>
      </c>
      <c r="C4" t="s">
        <v>42</v>
      </c>
      <c r="G4" s="1" t="s">
        <v>10</v>
      </c>
      <c r="H4" t="s">
        <v>28</v>
      </c>
      <c r="I4" t="s">
        <v>48</v>
      </c>
      <c r="J4" t="s">
        <v>56</v>
      </c>
    </row>
    <row r="5" spans="1:12" x14ac:dyDescent="0.25">
      <c r="A5" s="3"/>
      <c r="G5" s="1" t="s">
        <v>31</v>
      </c>
      <c r="H5" t="s">
        <v>28</v>
      </c>
      <c r="I5" t="s">
        <v>49</v>
      </c>
      <c r="J5" t="s">
        <v>57</v>
      </c>
    </row>
    <row r="6" spans="1:12" x14ac:dyDescent="0.25">
      <c r="A6" s="1" t="s">
        <v>19</v>
      </c>
      <c r="B6" t="s">
        <v>13</v>
      </c>
      <c r="C6" t="s">
        <v>40</v>
      </c>
      <c r="G6" s="1" t="s">
        <v>11</v>
      </c>
      <c r="H6" t="s">
        <v>28</v>
      </c>
    </row>
    <row r="7" spans="1:12" x14ac:dyDescent="0.25">
      <c r="A7" s="1" t="s">
        <v>20</v>
      </c>
      <c r="B7" t="s">
        <v>14</v>
      </c>
      <c r="C7" t="s">
        <v>41</v>
      </c>
    </row>
    <row r="8" spans="1:12" x14ac:dyDescent="0.25">
      <c r="A8" s="1" t="s">
        <v>21</v>
      </c>
      <c r="B8" t="s">
        <v>15</v>
      </c>
      <c r="C8" t="s">
        <v>43</v>
      </c>
      <c r="G8" s="1" t="s">
        <v>32</v>
      </c>
      <c r="H8" t="s">
        <v>28</v>
      </c>
      <c r="I8" t="s">
        <v>50</v>
      </c>
      <c r="J8" t="s">
        <v>58</v>
      </c>
    </row>
    <row r="9" spans="1:12" x14ac:dyDescent="0.25">
      <c r="A9" s="3"/>
      <c r="G9" s="1" t="s">
        <v>33</v>
      </c>
      <c r="H9" t="s">
        <v>28</v>
      </c>
      <c r="I9" t="s">
        <v>51</v>
      </c>
      <c r="J9" t="s">
        <v>59</v>
      </c>
    </row>
    <row r="10" spans="1:12" x14ac:dyDescent="0.25">
      <c r="A10" s="1" t="s">
        <v>22</v>
      </c>
      <c r="B10" t="s">
        <v>13</v>
      </c>
      <c r="C10" t="s">
        <v>40</v>
      </c>
      <c r="G10" s="1" t="s">
        <v>34</v>
      </c>
      <c r="H10" t="s">
        <v>28</v>
      </c>
      <c r="I10" t="s">
        <v>52</v>
      </c>
      <c r="J10" t="s">
        <v>60</v>
      </c>
    </row>
    <row r="11" spans="1:12" x14ac:dyDescent="0.25">
      <c r="A11" s="1" t="s">
        <v>23</v>
      </c>
      <c r="B11" t="s">
        <v>14</v>
      </c>
      <c r="C11" t="s">
        <v>41</v>
      </c>
      <c r="G11" s="1" t="s">
        <v>35</v>
      </c>
      <c r="H11" t="s">
        <v>28</v>
      </c>
      <c r="I11" t="s">
        <v>53</v>
      </c>
      <c r="J11" t="s">
        <v>61</v>
      </c>
    </row>
    <row r="12" spans="1:12" x14ac:dyDescent="0.25">
      <c r="A12" s="1" t="s">
        <v>24</v>
      </c>
      <c r="B12" t="s">
        <v>15</v>
      </c>
      <c r="C12" t="s">
        <v>44</v>
      </c>
      <c r="G12" s="1" t="s">
        <v>36</v>
      </c>
      <c r="H12" t="s">
        <v>28</v>
      </c>
    </row>
    <row r="14" spans="1:12" x14ac:dyDescent="0.25">
      <c r="A14" s="1" t="s">
        <v>25</v>
      </c>
    </row>
    <row r="15" spans="1:12" x14ac:dyDescent="0.25">
      <c r="A15" s="1" t="s">
        <v>26</v>
      </c>
    </row>
    <row r="16" spans="1:12" x14ac:dyDescent="0.25">
      <c r="A16" s="1" t="s">
        <v>27</v>
      </c>
    </row>
    <row r="18" spans="1:3" x14ac:dyDescent="0.25">
      <c r="A18" s="1" t="s">
        <v>37</v>
      </c>
      <c r="B18" t="s">
        <v>13</v>
      </c>
      <c r="C18" t="s">
        <v>40</v>
      </c>
    </row>
    <row r="19" spans="1:3" x14ac:dyDescent="0.25">
      <c r="A19" s="1" t="s">
        <v>38</v>
      </c>
      <c r="B19" t="s">
        <v>14</v>
      </c>
      <c r="C19" t="s">
        <v>41</v>
      </c>
    </row>
    <row r="20" spans="1:3" x14ac:dyDescent="0.25">
      <c r="A20" s="1" t="s">
        <v>39</v>
      </c>
      <c r="B20" t="s">
        <v>15</v>
      </c>
      <c r="C20" t="s">
        <v>45</v>
      </c>
    </row>
  </sheetData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52F6-C4C9-4E60-AE2A-630479BCB0E8}">
  <dimension ref="A1:L26"/>
  <sheetViews>
    <sheetView tabSelected="1" workbookViewId="0">
      <selection activeCell="A10" sqref="A10"/>
    </sheetView>
  </sheetViews>
  <sheetFormatPr defaultRowHeight="15" x14ac:dyDescent="0.25"/>
  <cols>
    <col min="1" max="1" width="33.140625" customWidth="1"/>
    <col min="2" max="2" width="18.5703125" customWidth="1"/>
    <col min="3" max="6" width="20" customWidth="1"/>
    <col min="7" max="7" width="29.5703125" customWidth="1"/>
    <col min="8" max="8" width="18" customWidth="1"/>
    <col min="9" max="9" width="17.5703125" customWidth="1"/>
    <col min="10" max="10" width="20.42578125" customWidth="1"/>
    <col min="11" max="11" width="21.85546875" customWidth="1"/>
    <col min="12" max="12" width="27.7109375" customWidth="1"/>
  </cols>
  <sheetData>
    <row r="1" spans="1:12" ht="31.5" customHeight="1" x14ac:dyDescent="0.25">
      <c r="A1" s="2" t="s">
        <v>0</v>
      </c>
      <c r="B1" s="2" t="s">
        <v>1</v>
      </c>
      <c r="C1" s="2" t="s">
        <v>12</v>
      </c>
      <c r="D1" s="2" t="s">
        <v>2</v>
      </c>
      <c r="E1" s="2" t="s">
        <v>5</v>
      </c>
      <c r="G1" s="2" t="s">
        <v>0</v>
      </c>
      <c r="H1" s="2" t="s">
        <v>1</v>
      </c>
      <c r="I1" s="2" t="s">
        <v>29</v>
      </c>
      <c r="J1" s="2" t="s">
        <v>12</v>
      </c>
      <c r="K1" s="2" t="s">
        <v>2</v>
      </c>
      <c r="L1" s="2" t="s">
        <v>5</v>
      </c>
    </row>
    <row r="2" spans="1:12" x14ac:dyDescent="0.25">
      <c r="A2" s="1" t="s">
        <v>71</v>
      </c>
      <c r="B2" t="s">
        <v>86</v>
      </c>
      <c r="C2" t="s">
        <v>40</v>
      </c>
      <c r="G2" s="1" t="s">
        <v>62</v>
      </c>
      <c r="H2" t="s">
        <v>28</v>
      </c>
      <c r="I2" t="s">
        <v>46</v>
      </c>
      <c r="J2" t="s">
        <v>54</v>
      </c>
    </row>
    <row r="3" spans="1:12" x14ac:dyDescent="0.25">
      <c r="A3" s="1" t="s">
        <v>72</v>
      </c>
      <c r="B3" t="s">
        <v>14</v>
      </c>
      <c r="C3" t="s">
        <v>41</v>
      </c>
      <c r="G3" s="1" t="s">
        <v>63</v>
      </c>
      <c r="H3" t="s">
        <v>28</v>
      </c>
      <c r="I3" t="s">
        <v>47</v>
      </c>
      <c r="J3" t="s">
        <v>55</v>
      </c>
    </row>
    <row r="4" spans="1:12" x14ac:dyDescent="0.25">
      <c r="A4" s="1" t="s">
        <v>73</v>
      </c>
      <c r="B4" t="s">
        <v>87</v>
      </c>
      <c r="C4" t="s">
        <v>45</v>
      </c>
      <c r="G4" s="1" t="s">
        <v>64</v>
      </c>
      <c r="H4" t="s">
        <v>28</v>
      </c>
      <c r="I4" t="s">
        <v>48</v>
      </c>
      <c r="J4" t="s">
        <v>56</v>
      </c>
    </row>
    <row r="5" spans="1:12" x14ac:dyDescent="0.25">
      <c r="A5" s="3"/>
      <c r="G5" s="1" t="s">
        <v>65</v>
      </c>
      <c r="H5" t="s">
        <v>28</v>
      </c>
      <c r="I5" t="s">
        <v>49</v>
      </c>
      <c r="J5" t="s">
        <v>57</v>
      </c>
    </row>
    <row r="6" spans="1:12" x14ac:dyDescent="0.25">
      <c r="A6" s="1" t="s">
        <v>74</v>
      </c>
      <c r="B6" t="s">
        <v>86</v>
      </c>
      <c r="C6" t="s">
        <v>40</v>
      </c>
      <c r="G6" s="1" t="s">
        <v>66</v>
      </c>
      <c r="H6" t="s">
        <v>28</v>
      </c>
    </row>
    <row r="7" spans="1:12" x14ac:dyDescent="0.25">
      <c r="A7" s="1" t="s">
        <v>76</v>
      </c>
      <c r="B7" t="s">
        <v>14</v>
      </c>
      <c r="C7" t="s">
        <v>41</v>
      </c>
    </row>
    <row r="8" spans="1:12" x14ac:dyDescent="0.25">
      <c r="A8" s="1" t="s">
        <v>75</v>
      </c>
      <c r="B8" t="s">
        <v>15</v>
      </c>
      <c r="C8" t="s">
        <v>61</v>
      </c>
      <c r="G8" s="1"/>
    </row>
    <row r="9" spans="1:12" x14ac:dyDescent="0.25">
      <c r="A9" s="3"/>
      <c r="G9" s="1"/>
    </row>
    <row r="10" spans="1:12" x14ac:dyDescent="0.25">
      <c r="A10" s="1" t="s">
        <v>77</v>
      </c>
      <c r="B10" t="s">
        <v>86</v>
      </c>
      <c r="C10" t="s">
        <v>40</v>
      </c>
      <c r="G10" s="1"/>
    </row>
    <row r="11" spans="1:12" x14ac:dyDescent="0.25">
      <c r="A11" s="1" t="s">
        <v>78</v>
      </c>
      <c r="B11" t="s">
        <v>14</v>
      </c>
      <c r="C11" t="s">
        <v>41</v>
      </c>
      <c r="G11" s="1"/>
    </row>
    <row r="12" spans="1:12" x14ac:dyDescent="0.25">
      <c r="A12" s="1" t="s">
        <v>79</v>
      </c>
      <c r="B12" t="s">
        <v>88</v>
      </c>
      <c r="C12" t="s">
        <v>44</v>
      </c>
      <c r="G12" s="1"/>
    </row>
    <row r="14" spans="1:12" x14ac:dyDescent="0.25">
      <c r="A14" s="1" t="s">
        <v>81</v>
      </c>
      <c r="B14" t="s">
        <v>86</v>
      </c>
      <c r="C14" t="s">
        <v>40</v>
      </c>
    </row>
    <row r="15" spans="1:12" x14ac:dyDescent="0.25">
      <c r="A15" s="1" t="s">
        <v>82</v>
      </c>
      <c r="B15" t="s">
        <v>14</v>
      </c>
      <c r="C15" t="s">
        <v>41</v>
      </c>
    </row>
    <row r="16" spans="1:12" x14ac:dyDescent="0.25">
      <c r="A16" s="1" t="s">
        <v>80</v>
      </c>
      <c r="B16" t="s">
        <v>13</v>
      </c>
      <c r="C16" t="s">
        <v>90</v>
      </c>
    </row>
    <row r="18" spans="1:3" x14ac:dyDescent="0.25">
      <c r="A18" s="1" t="s">
        <v>83</v>
      </c>
      <c r="B18" t="s">
        <v>87</v>
      </c>
      <c r="C18" t="s">
        <v>89</v>
      </c>
    </row>
    <row r="19" spans="1:3" x14ac:dyDescent="0.25">
      <c r="A19" s="1" t="s">
        <v>84</v>
      </c>
      <c r="B19" t="s">
        <v>86</v>
      </c>
      <c r="C19" t="s">
        <v>40</v>
      </c>
    </row>
    <row r="20" spans="1:3" x14ac:dyDescent="0.25">
      <c r="A20" s="1" t="s">
        <v>85</v>
      </c>
      <c r="B20" t="s">
        <v>14</v>
      </c>
      <c r="C20" t="s">
        <v>41</v>
      </c>
    </row>
    <row r="26" spans="1:3" x14ac:dyDescent="0.25">
      <c r="A26" t="s">
        <v>68</v>
      </c>
      <c r="B26" s="4" t="s">
        <v>67</v>
      </c>
    </row>
  </sheetData>
  <pageMargins left="0.75" right="0.75" top="1" bottom="1" header="0.5" footer="0.5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0"/>
  <sheetViews>
    <sheetView workbookViewId="0">
      <selection activeCell="B30" sqref="B30"/>
    </sheetView>
  </sheetViews>
  <sheetFormatPr defaultRowHeight="15" x14ac:dyDescent="0.25"/>
  <cols>
    <col min="1" max="6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7" x14ac:dyDescent="0.25">
      <c r="A2" t="s">
        <v>0</v>
      </c>
      <c r="B2" t="s">
        <v>6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25">
      <c r="A3" t="e">
        <f ca="1">INDIRECT("Sectie1_Motoren!A2")</f>
        <v>#REF!</v>
      </c>
      <c r="B3" t="s">
        <v>7</v>
      </c>
      <c r="C3" t="e">
        <f ca="1">INDIRECT("Sectie1_Motoren!B2")</f>
        <v>#REF!</v>
      </c>
      <c r="D3" t="e">
        <f ca="1">INDIRECT("Sectie1_Motoren!C2")</f>
        <v>#REF!</v>
      </c>
      <c r="E3" t="e">
        <f ca="1">INDIRECT("Sectie1_Motoren!D2")</f>
        <v>#REF!</v>
      </c>
      <c r="F3" t="e">
        <f ca="1">IF(INDIRECT("Sectie1_Motoren!E2")&lt;&gt;"",INDIRECT("Sectie1_Motoren!E2"),"Kast")</f>
        <v>#REF!</v>
      </c>
      <c r="G3" t="e">
        <f ca="1">INDIRECT("Sectie1_Motoren!F2")</f>
        <v>#REF!</v>
      </c>
    </row>
    <row r="4" spans="1:7" x14ac:dyDescent="0.25">
      <c r="A4" t="e">
        <f ca="1">INDIRECT("Sectie1_Motoren!A3")</f>
        <v>#REF!</v>
      </c>
      <c r="B4" t="s">
        <v>7</v>
      </c>
      <c r="C4" t="e">
        <f ca="1">INDIRECT("Sectie1_Motoren!B3")</f>
        <v>#REF!</v>
      </c>
      <c r="D4" t="e">
        <f ca="1">INDIRECT("Sectie1_Motoren!C3")</f>
        <v>#REF!</v>
      </c>
      <c r="E4" t="e">
        <f ca="1">INDIRECT("Sectie1_Motoren!D3")</f>
        <v>#REF!</v>
      </c>
      <c r="F4" t="e">
        <f ca="1">IF(INDIRECT("Sectie1_Motoren!E3")&lt;&gt;"",INDIRECT("Sectie1_Motoren!E3"),"Kast")</f>
        <v>#REF!</v>
      </c>
      <c r="G4" t="e">
        <f ca="1">INDIRECT("Sectie1_Motoren!F3")</f>
        <v>#REF!</v>
      </c>
    </row>
    <row r="5" spans="1:7" x14ac:dyDescent="0.25">
      <c r="A5" t="e">
        <f ca="1">INDIRECT("Sectie1_Motoren!A4")</f>
        <v>#REF!</v>
      </c>
      <c r="B5" t="s">
        <v>7</v>
      </c>
      <c r="C5" t="e">
        <f ca="1">INDIRECT("Sectie1_Motoren!B4")</f>
        <v>#REF!</v>
      </c>
      <c r="D5" t="e">
        <f ca="1">INDIRECT("Sectie1_Motoren!C4")</f>
        <v>#REF!</v>
      </c>
      <c r="E5" t="e">
        <f ca="1">INDIRECT("Sectie1_Motoren!D4")</f>
        <v>#REF!</v>
      </c>
      <c r="F5" t="e">
        <f ca="1">IF(INDIRECT("Sectie1_Motoren!E4")&lt;&gt;"",INDIRECT("Sectie1_Motoren!E4"),"Kast")</f>
        <v>#REF!</v>
      </c>
      <c r="G5" t="e">
        <f ca="1">INDIRECT("Sectie1_Motoren!F4")</f>
        <v>#REF!</v>
      </c>
    </row>
    <row r="6" spans="1:7" x14ac:dyDescent="0.25">
      <c r="A6" t="e">
        <f ca="1">INDIRECT("Sectie2_Sensoren!A2")</f>
        <v>#REF!</v>
      </c>
      <c r="B6" t="s">
        <v>8</v>
      </c>
      <c r="C6" t="e">
        <f ca="1">INDIRECT("Sectie2_Sensoren!B2")</f>
        <v>#REF!</v>
      </c>
      <c r="D6" t="e">
        <f ca="1">INDIRECT("Sectie2_Sensoren!C2")</f>
        <v>#REF!</v>
      </c>
      <c r="E6" t="e">
        <f ca="1">INDIRECT("Sectie2_Sensoren!D2")</f>
        <v>#REF!</v>
      </c>
      <c r="F6" t="e">
        <f ca="1">IF(INDIRECT("Sectie2_Sensoren!E2")&lt;&gt;"",INDIRECT("Sectie2_Sensoren!E2"),"Kast")</f>
        <v>#REF!</v>
      </c>
      <c r="G6" t="e">
        <f ca="1">INDIRECT("Sectie2_Sensoren!F2")</f>
        <v>#REF!</v>
      </c>
    </row>
    <row r="7" spans="1:7" x14ac:dyDescent="0.25">
      <c r="A7" t="e">
        <f ca="1">INDIRECT("Sectie2_Sensoren!A3")</f>
        <v>#REF!</v>
      </c>
      <c r="B7" t="s">
        <v>8</v>
      </c>
      <c r="C7" t="e">
        <f ca="1">INDIRECT("Sectie2_Sensoren!B3")</f>
        <v>#REF!</v>
      </c>
      <c r="D7" t="e">
        <f ca="1">INDIRECT("Sectie2_Sensoren!C3")</f>
        <v>#REF!</v>
      </c>
      <c r="E7" t="e">
        <f ca="1">INDIRECT("Sectie2_Sensoren!D3")</f>
        <v>#REF!</v>
      </c>
      <c r="F7" t="e">
        <f ca="1">IF(INDIRECT("Sectie2_Sensoren!E3")&lt;&gt;"",INDIRECT("Sectie2_Sensoren!E3"),"Kast")</f>
        <v>#REF!</v>
      </c>
      <c r="G7" t="e">
        <f ca="1">INDIRECT("Sectie2_Sensoren!F3")</f>
        <v>#REF!</v>
      </c>
    </row>
    <row r="8" spans="1:7" x14ac:dyDescent="0.25">
      <c r="A8" t="e">
        <f ca="1">INDIRECT("Sectie2_Sensoren!A4")</f>
        <v>#REF!</v>
      </c>
      <c r="B8" t="s">
        <v>8</v>
      </c>
      <c r="C8" t="e">
        <f ca="1">INDIRECT("Sectie2_Sensoren!B4")</f>
        <v>#REF!</v>
      </c>
      <c r="D8" t="e">
        <f ca="1">INDIRECT("Sectie2_Sensoren!C4")</f>
        <v>#REF!</v>
      </c>
      <c r="E8" t="e">
        <f ca="1">INDIRECT("Sectie2_Sensoren!D4")</f>
        <v>#REF!</v>
      </c>
      <c r="F8" t="e">
        <f ca="1">IF(INDIRECT("Sectie2_Sensoren!E4")&lt;&gt;"",INDIRECT("Sectie2_Sensoren!E4"),"Kast")</f>
        <v>#REF!</v>
      </c>
      <c r="G8" t="e">
        <f ca="1">INDIRECT("Sectie2_Sensoren!F4")</f>
        <v>#REF!</v>
      </c>
    </row>
    <row r="30" spans="1:2" x14ac:dyDescent="0.25">
      <c r="A30" t="s">
        <v>70</v>
      </c>
      <c r="B30" s="4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station</vt:lpstr>
      <vt:lpstr>tilt_drop</vt:lpstr>
      <vt:lpstr>Kast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 Roo Garcia</cp:lastModifiedBy>
  <dcterms:created xsi:type="dcterms:W3CDTF">2025-05-19T09:57:21Z</dcterms:created>
  <dcterms:modified xsi:type="dcterms:W3CDTF">2025-05-21T13:03:23Z</dcterms:modified>
</cp:coreProperties>
</file>